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אריאל 2.26\"/>
    </mc:Choice>
  </mc:AlternateContent>
  <xr:revisionPtr revIDLastSave="0" documentId="13_ncr:1_{8599C07C-ECEB-429F-8FE4-344305E168D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 להפקה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P3" i="2"/>
</calcChain>
</file>

<file path=xl/sharedStrings.xml><?xml version="1.0" encoding="utf-8"?>
<sst xmlns="http://schemas.openxmlformats.org/spreadsheetml/2006/main" count="27" uniqueCount="23">
  <si>
    <t>פרטים</t>
  </si>
  <si>
    <t>IN26201000001</t>
  </si>
  <si>
    <t>IN26201000002</t>
  </si>
  <si>
    <t>מספר ספק</t>
  </si>
  <si>
    <t>תאריך חשבונית</t>
  </si>
  <si>
    <t>מספר חשבונית</t>
  </si>
  <si>
    <t>מס</t>
  </si>
  <si>
    <t>שם קובץ חשבונית</t>
  </si>
  <si>
    <t>מספר עמוד</t>
  </si>
  <si>
    <t>חשבונית שנוצרה</t>
  </si>
  <si>
    <t>סניף</t>
  </si>
  <si>
    <t>מספר הקצאה</t>
  </si>
  <si>
    <t>מקט</t>
  </si>
  <si>
    <t>תאור המוצר</t>
  </si>
  <si>
    <t xml:space="preserve">חשבון הוצאות </t>
  </si>
  <si>
    <t>סכום כולל מע"מ</t>
  </si>
  <si>
    <t>015</t>
  </si>
  <si>
    <t>עבודות עפר</t>
  </si>
  <si>
    <t>000</t>
  </si>
  <si>
    <t>עבור עבודות עפר</t>
  </si>
  <si>
    <t>2112-015</t>
  </si>
  <si>
    <t>עבודות שלד ובטונים</t>
  </si>
  <si>
    <t>סכום לפני מעמ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</si>
</sst>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d/m/yyyy"/>
  </numFmts>
  <fonts count="5">
    <font>
      <sz val="11"/>
      <name val="Aptos Narrow"/>
    </font>
    <font>
      <sz val="11"/>
      <name val="Aptos Narrow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2" fontId="1" fillId="0" borderId="0" xfId="1" applyNumberFormat="1"/>
    <xf numFmtId="49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165" fontId="3" fillId="0" borderId="0" xfId="0" applyNumberFormat="1" applyFont="1"/>
    <xf numFmtId="0" fontId="4" fillId="0" borderId="0" xfId="0" applyFont="1" applyAlignment="1">
      <alignment horizontal="right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right"/>
    </xf>
    <xf numFmtId="2" fontId="4" fillId="0" borderId="0" xfId="1" applyNumberFormat="1" applyFont="1" applyFill="1"/>
  </cellXfs>
  <cellStyles count="2">
    <cellStyle name="Comma" xfId="1" builtinId="3"/>
    <cellStyle name="Normal" xfId="0" builtinId="0"/>
  </cellStyles>
  <dxfs count="7">
    <dxf>
      <numFmt numFmtId="2" formatCode="0.00"/>
    </dxf>
    <dxf>
      <numFmt numFmtId="2" formatCode="0.0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"/>
    </dxf>
    <dxf>
      <font>
        <strike val="0"/>
        <outline val="0"/>
        <shadow val="0"/>
        <u val="none"/>
        <vertAlign val="baseline"/>
        <color auto="1"/>
        <name val="Aptos Narrow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FE83F-0F91-4BE7-842F-00CBA0897175}" name="Table1" displayName="Table1" ref="B2:P4" totalsRowShown="0" headerRowDxfId="6">
  <autoFilter ref="B2:P4" xr:uid="{5BBFE83F-0F91-4BE7-842F-00CBA0897175}"/>
  <tableColumns count="15">
    <tableColumn id="1" xr3:uid="{624B1913-6FB2-46C1-BEA0-7482F8E5682C}" name="מס"/>
    <tableColumn id="2" xr3:uid="{5CED952A-15CB-4F4F-BBC9-8EF609251E7F}" name="שם קובץ חשבונית"/>
    <tableColumn id="3" xr3:uid="{9BF6815C-6509-4899-AD70-0AB3BE287815}" name="מספר עמוד"/>
    <tableColumn id="4" xr3:uid="{A96D9FD5-8188-4F28-A397-800DD8A5858C}" name="חשבונית שנוצרה"/>
    <tableColumn id="5" xr3:uid="{3754990D-535B-49CF-8D90-C4B0447D15B6}" name="מספר ספק"/>
    <tableColumn id="6" xr3:uid="{FE1EA2A9-85CF-4D21-8FA7-178F0D059FD0}" name="תאריך חשבונית" dataDxfId="5"/>
    <tableColumn id="7" xr3:uid="{8D28C0D0-A488-49D6-ADFE-11AF51C99165}" name="מספר חשבונית"/>
    <tableColumn id="8" xr3:uid="{4B5B4626-71E7-45B2-BA49-42844A7F90C1}" name="סניף" dataDxfId="4"/>
    <tableColumn id="9" xr3:uid="{F55626AE-B522-4F78-8A31-5B0509EE3691}" name="פרטים"/>
    <tableColumn id="10" xr3:uid="{DBE28D5D-CB1E-4172-AE27-A6BA953E8721}" name="מספר הקצאה"/>
    <tableColumn id="11" xr3:uid="{7D205919-67E2-4E30-B6BA-E13E032B1EFC}" name="מקט" dataDxfId="3"/>
    <tableColumn id="12" xr3:uid="{1BF0AD4E-1D81-4479-A627-D23655FFF71D}" name="תאור המוצר"/>
    <tableColumn id="13" xr3:uid="{3E5B55EB-9E8D-4392-B23D-4593C977B9B2}" name="חשבון הוצאות " dataDxfId="2"/>
    <tableColumn id="14" xr3:uid="{DF0BC0CE-AF75-4C3A-8E6F-AB2B5E2E8BCB}" name="סכום לפני מעמ" dataDxfId="1"/>
    <tableColumn id="15" xr3:uid="{7E0466C8-BC01-4711-AB0C-B8F009BD85DB}" name="סכום כולל מע&quot;מ" dataDxfId="0" dataCellStyle="Comma">
      <calculatedColumnFormula>O3*1.18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8450-66F2-4D3B-A470-46115DF200E9}">
  <dimension ref="B2:P4"/>
  <sheetViews>
    <sheetView rightToLeft="1" tabSelected="1" workbookViewId="0">
      <selection activeCell="G3" sqref="G3"/>
    </sheetView>
  </sheetViews>
  <sheetFormatPr defaultRowHeight="15"/>
  <cols>
    <col min="3" max="3" width="19.7109375" customWidth="1"/>
    <col min="4" max="4" width="14.7109375" customWidth="1"/>
    <col min="5" max="5" width="19.42578125" customWidth="1"/>
    <col min="6" max="6" width="17" customWidth="1"/>
    <col min="7" max="7" width="18.28515625" customWidth="1"/>
    <col min="8" max="8" width="23.42578125" customWidth="1"/>
    <col min="9" max="9" width="14.85546875" style="7" customWidth="1"/>
    <col min="10" max="10" width="15.28515625" customWidth="1"/>
    <col min="11" max="11" width="15.5703125" customWidth="1"/>
    <col min="12" max="12" width="13.85546875" style="7" customWidth="1"/>
    <col min="13" max="13" width="20.28515625" customWidth="1"/>
    <col min="14" max="14" width="13.5703125" style="4" customWidth="1"/>
    <col min="15" max="15" width="16.85546875" customWidth="1"/>
    <col min="16" max="16" width="16.5703125" customWidth="1"/>
  </cols>
  <sheetData>
    <row r="2" spans="2:16" s="3" customFormat="1" ht="15.75">
      <c r="B2" s="8" t="s">
        <v>6</v>
      </c>
      <c r="C2" s="8" t="s">
        <v>7</v>
      </c>
      <c r="D2" s="8" t="s">
        <v>8</v>
      </c>
      <c r="E2" s="8" t="s">
        <v>9</v>
      </c>
      <c r="F2" s="8" t="s">
        <v>3</v>
      </c>
      <c r="G2" s="9" t="s">
        <v>4</v>
      </c>
      <c r="H2" s="10" t="s">
        <v>5</v>
      </c>
      <c r="I2" s="11" t="s">
        <v>10</v>
      </c>
      <c r="J2" s="12" t="s">
        <v>0</v>
      </c>
      <c r="K2" s="12" t="s">
        <v>11</v>
      </c>
      <c r="L2" s="11" t="s">
        <v>12</v>
      </c>
      <c r="M2" s="8" t="s">
        <v>13</v>
      </c>
      <c r="N2" s="13" t="s">
        <v>14</v>
      </c>
      <c r="O2" s="14" t="s">
        <v>22</v>
      </c>
      <c r="P2" s="14" t="s">
        <v>15</v>
      </c>
    </row>
    <row r="3" spans="2:16">
      <c r="B3">
        <v>1</v>
      </c>
      <c r="F3">
        <v>60474</v>
      </c>
      <c r="G3" s="1">
        <v>46052</v>
      </c>
      <c r="H3" t="s">
        <v>1</v>
      </c>
      <c r="I3" s="7" t="s">
        <v>16</v>
      </c>
      <c r="J3" t="s">
        <v>17</v>
      </c>
      <c r="K3" s="6"/>
      <c r="L3" s="7" t="s">
        <v>18</v>
      </c>
      <c r="M3" t="s">
        <v>19</v>
      </c>
      <c r="N3" s="4" t="s">
        <v>20</v>
      </c>
      <c r="O3" s="2">
        <v>8450</v>
      </c>
      <c r="P3" s="5">
        <f>O3*1.18</f>
        <v>9971</v>
      </c>
    </row>
    <row r="4" spans="2:16">
      <c r="B4">
        <v>2</v>
      </c>
      <c r="F4">
        <v>60474</v>
      </c>
      <c r="G4" s="1">
        <v>46052</v>
      </c>
      <c r="H4" t="s">
        <v>2</v>
      </c>
      <c r="I4" s="7" t="s">
        <v>16</v>
      </c>
      <c r="J4" t="s">
        <v>21</v>
      </c>
      <c r="L4" s="7" t="s">
        <v>18</v>
      </c>
      <c r="M4" t="s">
        <v>21</v>
      </c>
      <c r="N4" s="4" t="s">
        <v>20</v>
      </c>
      <c r="O4" s="2">
        <v>8000</v>
      </c>
      <c r="P4" s="5">
        <f t="shared" ref="P4" si="0">O4*1.18</f>
        <v>9440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 להפקה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בועז אנגלנדר</cp:lastModifiedBy>
  <dcterms:modified xsi:type="dcterms:W3CDTF">2026-04-17T19:51:04Z</dcterms:modified>
</cp:coreProperties>
</file>